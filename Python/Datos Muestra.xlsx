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taicedu-my.sharepoint.com/personal/didier_dataedu_co/Documents/DATAEDU/Lives/39. Análisis de Productos 1/Archivos/Material/"/>
    </mc:Choice>
  </mc:AlternateContent>
  <xr:revisionPtr revIDLastSave="0" documentId="8_{803B0210-1C03-45CF-8F93-13C420A5C54E}" xr6:coauthVersionLast="47" xr6:coauthVersionMax="47" xr10:uidLastSave="{00000000-0000-0000-0000-000000000000}"/>
  <bookViews>
    <workbookView xWindow="28680" yWindow="-120" windowWidth="29040" windowHeight="15720" xr2:uid="{B76F587A-1F05-42EC-B13D-FC6D892E89D5}"/>
  </bookViews>
  <sheets>
    <sheet name="Hoja1" sheetId="1" r:id="rId1"/>
  </sheets>
  <definedNames>
    <definedName name="_xlnm._FilterDatabase" localSheetId="0" hidden="1">Hoja1!$A$1:$B$32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2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" i="1"/>
  <c r="E2" i="1"/>
  <c r="D5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4" i="1"/>
  <c r="D3" i="1"/>
  <c r="D2" i="1"/>
  <c r="C35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2" i="1"/>
  <c r="B35" i="1"/>
</calcChain>
</file>

<file path=xl/sharedStrings.xml><?xml version="1.0" encoding="utf-8"?>
<sst xmlns="http://schemas.openxmlformats.org/spreadsheetml/2006/main" count="35" uniqueCount="35">
  <si>
    <t>PRODUCTO</t>
  </si>
  <si>
    <t>VENTAS</t>
  </si>
  <si>
    <t>ACONDICIONADOR</t>
  </si>
  <si>
    <t>BRONCEADOR</t>
  </si>
  <si>
    <t>CLOROX</t>
  </si>
  <si>
    <t>CREMA DENTAL 100gm</t>
  </si>
  <si>
    <t>CREMA DENTAL 50gm</t>
  </si>
  <si>
    <t>CREMA FACIAL</t>
  </si>
  <si>
    <t>DESINFECTANTE</t>
  </si>
  <si>
    <t>DESODORANTE HOMBRE</t>
  </si>
  <si>
    <t>DESODORANTE MUJER</t>
  </si>
  <si>
    <t>DETERGENTE LIQUIDO</t>
  </si>
  <si>
    <t>DETERGENTE POLVO</t>
  </si>
  <si>
    <t>ENJUAGUE BUCAL</t>
  </si>
  <si>
    <t xml:space="preserve">ESPUMA </t>
  </si>
  <si>
    <t>GEL</t>
  </si>
  <si>
    <t>JABON FACIAL</t>
  </si>
  <si>
    <t>JABON LIQUIDO</t>
  </si>
  <si>
    <t>JABON TOCADOR</t>
  </si>
  <si>
    <t>LIMPIA GRASA</t>
  </si>
  <si>
    <t>LIMPIADOR AZUL</t>
  </si>
  <si>
    <t>LIMPIAVIDRIOS</t>
  </si>
  <si>
    <t>LOCION</t>
  </si>
  <si>
    <t>MULTIUSOS</t>
  </si>
  <si>
    <t>PRODUCTOS CAPILARES</t>
  </si>
  <si>
    <t>PROTECTOR SOLAR</t>
  </si>
  <si>
    <t>QUITAMANCHA</t>
  </si>
  <si>
    <t>ROPA COLOR</t>
  </si>
  <si>
    <t>SEDA DENTAL</t>
  </si>
  <si>
    <t>SHAMPOO</t>
  </si>
  <si>
    <t>SUAVIZANTE</t>
  </si>
  <si>
    <t>TALCO POLVO</t>
  </si>
  <si>
    <t>TINTURA</t>
  </si>
  <si>
    <t>% Partici/</t>
  </si>
  <si>
    <t>Pareto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</si>
</sst>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theme="4" tint="-0.249977111117893"/>
      </patternFill>
    </fill>
    <fill>
      <patternFill patternType="solid">
        <fgColor rgb="FFEEFAA8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/>
    <xf numFmtId="164" fontId="0" fillId="0" borderId="2" xfId="0" applyNumberFormat="1" applyBorder="1"/>
    <xf numFmtId="164" fontId="1" fillId="0" borderId="0" xfId="0" applyNumberFormat="1" applyFont="1"/>
    <xf numFmtId="164" fontId="0" fillId="0" borderId="0" xfId="0" applyNumberFormat="1"/>
    <xf numFmtId="165" fontId="0" fillId="0" borderId="0" xfId="1" applyNumberFormat="1" applyFont="1"/>
    <xf numFmtId="165" fontId="0" fillId="0" borderId="0" xfId="0" applyNumberFormat="1"/>
    <xf numFmtId="164" fontId="0" fillId="3" borderId="2" xfId="0" applyNumberFormat="1" applyFill="1" applyBorder="1"/>
    <xf numFmtId="165" fontId="0" fillId="3" borderId="0" xfId="1" applyNumberFormat="1" applyFont="1" applyFill="1"/>
    <xf numFmtId="164" fontId="0" fillId="3" borderId="0" xfId="0" applyNumberFormat="1" applyFill="1"/>
    <xf numFmtId="165" fontId="0" fillId="3" borderId="0" xfId="0" applyNumberForma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EEFA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90CB-1C78-4A00-A6EE-618C8B4DDA8E}">
  <dimension ref="A1:F35"/>
  <sheetViews>
    <sheetView tabSelected="1" zoomScale="145" zoomScaleNormal="145" workbookViewId="0">
      <selection activeCell="F12" sqref="F12"/>
    </sheetView>
  </sheetViews>
  <sheetFormatPr baseColWidth="10" defaultRowHeight="15" x14ac:dyDescent="0.25"/>
  <cols>
    <col min="1" max="1" width="23.85546875" bestFit="1" customWidth="1"/>
    <col min="2" max="2" width="15.140625" bestFit="1" customWidth="1"/>
    <col min="4" max="4" width="12.28515625" bestFit="1" customWidth="1"/>
    <col min="6" max="6" width="11.7109375" bestFit="1" customWidth="1"/>
  </cols>
  <sheetData>
    <row r="1" spans="1:6" x14ac:dyDescent="0.25">
      <c r="A1" s="1" t="s">
        <v>0</v>
      </c>
      <c r="B1" s="1" t="s">
        <v>1</v>
      </c>
      <c r="C1" t="s">
        <v>33</v>
      </c>
      <c r="D1" t="s">
        <v>34</v>
      </c>
    </row>
    <row r="2" spans="1:6" x14ac:dyDescent="0.25">
      <c r="A2" s="7" t="s">
        <v>12</v>
      </c>
      <c r="B2" s="7">
        <v>2169887.9561999999</v>
      </c>
      <c r="C2" s="8">
        <f>B2/$B$35</f>
        <v>0.16643715458671846</v>
      </c>
      <c r="D2" s="9">
        <f>B2</f>
        <v>2169887.9561999999</v>
      </c>
      <c r="E2" s="8">
        <f>C2</f>
        <v>0.16643715458671846</v>
      </c>
      <c r="F2" s="4">
        <f>SUM($B$2:B2)</f>
        <v>2169887.9561999999</v>
      </c>
    </row>
    <row r="3" spans="1:6" x14ac:dyDescent="0.25">
      <c r="A3" s="7" t="s">
        <v>21</v>
      </c>
      <c r="B3" s="7">
        <v>1193680.8001999999</v>
      </c>
      <c r="C3" s="8">
        <f t="shared" ref="C3:C32" si="0">B3/$B$35</f>
        <v>9.1559029719677082E-2</v>
      </c>
      <c r="D3" s="9">
        <f>B3+D2</f>
        <v>3363568.7563999998</v>
      </c>
      <c r="E3" s="10">
        <f>E2+C3</f>
        <v>0.25799618430639554</v>
      </c>
      <c r="F3" s="4">
        <f>SUM($B$2:B3)</f>
        <v>3363568.7563999998</v>
      </c>
    </row>
    <row r="4" spans="1:6" x14ac:dyDescent="0.25">
      <c r="A4" s="7" t="s">
        <v>19</v>
      </c>
      <c r="B4" s="7">
        <v>1098533.4317000001</v>
      </c>
      <c r="C4" s="8">
        <f t="shared" si="0"/>
        <v>8.4260930647646323E-2</v>
      </c>
      <c r="D4" s="9">
        <f>B4+D3</f>
        <v>4462102.1880999999</v>
      </c>
      <c r="E4" s="10">
        <f t="shared" ref="E4:E32" si="1">E3+C4</f>
        <v>0.34225711495404187</v>
      </c>
      <c r="F4" s="4">
        <f>SUM($B$2:B4)</f>
        <v>4462102.1880999999</v>
      </c>
    </row>
    <row r="5" spans="1:6" x14ac:dyDescent="0.25">
      <c r="A5" s="7" t="s">
        <v>27</v>
      </c>
      <c r="B5" s="7">
        <v>909615.1727</v>
      </c>
      <c r="C5" s="8">
        <f t="shared" si="0"/>
        <v>6.977031264702796E-2</v>
      </c>
      <c r="D5" s="9">
        <f t="shared" ref="D5:D32" si="2">B5+D4</f>
        <v>5371717.3607999999</v>
      </c>
      <c r="E5" s="10">
        <f t="shared" si="1"/>
        <v>0.41202742760106981</v>
      </c>
      <c r="F5" s="4">
        <f>SUM($B$2:B5)</f>
        <v>5371717.3607999999</v>
      </c>
    </row>
    <row r="6" spans="1:6" x14ac:dyDescent="0.25">
      <c r="A6" s="7" t="s">
        <v>8</v>
      </c>
      <c r="B6" s="7">
        <v>900000</v>
      </c>
      <c r="C6" s="8">
        <f t="shared" si="0"/>
        <v>6.9032798997774633E-2</v>
      </c>
      <c r="D6" s="9">
        <f t="shared" si="2"/>
        <v>6271717.3607999999</v>
      </c>
      <c r="E6" s="10">
        <f t="shared" si="1"/>
        <v>0.48106022659884445</v>
      </c>
      <c r="F6" s="4">
        <f>SUM($B$2:B6)</f>
        <v>6271717.3607999999</v>
      </c>
    </row>
    <row r="7" spans="1:6" x14ac:dyDescent="0.25">
      <c r="A7" s="7" t="s">
        <v>13</v>
      </c>
      <c r="B7" s="7">
        <v>767550.92599999998</v>
      </c>
      <c r="C7" s="8">
        <f t="shared" si="0"/>
        <v>5.8873543105681991E-2</v>
      </c>
      <c r="D7" s="9">
        <f t="shared" si="2"/>
        <v>7039268.2867999999</v>
      </c>
      <c r="E7" s="10">
        <f t="shared" si="1"/>
        <v>0.53993376970452645</v>
      </c>
      <c r="F7" s="4">
        <f>SUM($B$2:B7)</f>
        <v>7039268.2867999999</v>
      </c>
    </row>
    <row r="8" spans="1:6" x14ac:dyDescent="0.25">
      <c r="A8" s="7" t="s">
        <v>20</v>
      </c>
      <c r="B8" s="7">
        <v>703461.20869999996</v>
      </c>
      <c r="C8" s="8">
        <f t="shared" si="0"/>
        <v>5.3957662469909656E-2</v>
      </c>
      <c r="D8" s="9">
        <f t="shared" si="2"/>
        <v>7742729.4955000002</v>
      </c>
      <c r="E8" s="10">
        <f t="shared" si="1"/>
        <v>0.59389143217443607</v>
      </c>
      <c r="F8" s="4">
        <f>SUM($B$2:B8)</f>
        <v>7742729.4955000002</v>
      </c>
    </row>
    <row r="9" spans="1:6" x14ac:dyDescent="0.25">
      <c r="A9" s="7" t="s">
        <v>5</v>
      </c>
      <c r="B9" s="7">
        <v>700000</v>
      </c>
      <c r="C9" s="8">
        <f t="shared" si="0"/>
        <v>5.3692176998269163E-2</v>
      </c>
      <c r="D9" s="9">
        <f t="shared" si="2"/>
        <v>8442729.4955000002</v>
      </c>
      <c r="E9" s="10">
        <f t="shared" si="1"/>
        <v>0.64758360917270519</v>
      </c>
      <c r="F9" s="4">
        <f>SUM($B$2:B9)</f>
        <v>8442729.4955000002</v>
      </c>
    </row>
    <row r="10" spans="1:6" x14ac:dyDescent="0.25">
      <c r="A10" s="7" t="s">
        <v>11</v>
      </c>
      <c r="B10" s="7">
        <v>684119.79130000004</v>
      </c>
      <c r="C10" s="8">
        <f t="shared" si="0"/>
        <v>5.247411560356937E-2</v>
      </c>
      <c r="D10" s="9">
        <f t="shared" si="2"/>
        <v>9126849.2868000008</v>
      </c>
      <c r="E10" s="10">
        <f t="shared" si="1"/>
        <v>0.70005772477627459</v>
      </c>
      <c r="F10" s="4">
        <f>SUM($B$2:B10)</f>
        <v>9126849.2868000008</v>
      </c>
    </row>
    <row r="11" spans="1:6" x14ac:dyDescent="0.25">
      <c r="A11" s="7" t="s">
        <v>30</v>
      </c>
      <c r="B11" s="7">
        <v>666818.7683</v>
      </c>
      <c r="C11" s="8">
        <f t="shared" si="0"/>
        <v>5.1147073333330614E-2</v>
      </c>
      <c r="D11" s="9">
        <f t="shared" si="2"/>
        <v>9793668.0551000014</v>
      </c>
      <c r="E11" s="10">
        <f t="shared" si="1"/>
        <v>0.75120479810960517</v>
      </c>
      <c r="F11" s="4">
        <f>SUM($B$2:B11)</f>
        <v>9793668.0551000014</v>
      </c>
    </row>
    <row r="12" spans="1:6" x14ac:dyDescent="0.25">
      <c r="A12" s="7" t="s">
        <v>17</v>
      </c>
      <c r="B12" s="7">
        <v>596000</v>
      </c>
      <c r="C12" s="8">
        <f t="shared" si="0"/>
        <v>4.5715053558526314E-2</v>
      </c>
      <c r="D12" s="9">
        <f t="shared" si="2"/>
        <v>10389668.055100001</v>
      </c>
      <c r="E12" s="10">
        <f t="shared" si="1"/>
        <v>0.79691985166813151</v>
      </c>
      <c r="F12" s="4">
        <f>SUM($B$2:B12)</f>
        <v>10389668.055100001</v>
      </c>
    </row>
    <row r="13" spans="1:6" x14ac:dyDescent="0.25">
      <c r="A13" s="2" t="s">
        <v>25</v>
      </c>
      <c r="B13" s="2">
        <v>539383.65399999998</v>
      </c>
      <c r="C13" s="5">
        <f t="shared" si="0"/>
        <v>4.1372403743630243E-2</v>
      </c>
      <c r="D13" s="4">
        <f t="shared" si="2"/>
        <v>10929051.709100001</v>
      </c>
      <c r="E13" s="6">
        <f t="shared" si="1"/>
        <v>0.83829225541176178</v>
      </c>
    </row>
    <row r="14" spans="1:6" x14ac:dyDescent="0.25">
      <c r="A14" s="2" t="s">
        <v>9</v>
      </c>
      <c r="B14" s="2">
        <v>498519.70500000002</v>
      </c>
      <c r="C14" s="5">
        <f t="shared" si="0"/>
        <v>3.82380117685499E-2</v>
      </c>
      <c r="D14" s="4">
        <f t="shared" si="2"/>
        <v>11427571.414100001</v>
      </c>
      <c r="E14" s="6">
        <f t="shared" si="1"/>
        <v>0.87653026718031168</v>
      </c>
    </row>
    <row r="15" spans="1:6" x14ac:dyDescent="0.25">
      <c r="A15" s="2" t="s">
        <v>23</v>
      </c>
      <c r="B15" s="2">
        <v>464176.93469999998</v>
      </c>
      <c r="C15" s="5">
        <f t="shared" si="0"/>
        <v>3.5603814480609175E-2</v>
      </c>
      <c r="D15" s="4">
        <f t="shared" si="2"/>
        <v>11891748.3488</v>
      </c>
      <c r="E15" s="6">
        <f t="shared" si="1"/>
        <v>0.91213408166092091</v>
      </c>
    </row>
    <row r="16" spans="1:6" x14ac:dyDescent="0.25">
      <c r="A16" s="2" t="s">
        <v>10</v>
      </c>
      <c r="B16" s="2">
        <v>302000</v>
      </c>
      <c r="C16" s="5">
        <f t="shared" si="0"/>
        <v>2.3164339219253267E-2</v>
      </c>
      <c r="D16" s="4">
        <f t="shared" si="2"/>
        <v>12193748.3488</v>
      </c>
      <c r="E16" s="6">
        <f t="shared" si="1"/>
        <v>0.93529842088017423</v>
      </c>
    </row>
    <row r="17" spans="1:5" x14ac:dyDescent="0.25">
      <c r="A17" s="2" t="s">
        <v>6</v>
      </c>
      <c r="B17" s="2">
        <v>201991.23629999999</v>
      </c>
      <c r="C17" s="5">
        <f t="shared" si="0"/>
        <v>1.5493356016455443E-2</v>
      </c>
      <c r="D17" s="4">
        <f t="shared" si="2"/>
        <v>12395739.585099999</v>
      </c>
      <c r="E17" s="6">
        <f t="shared" si="1"/>
        <v>0.95079177689662964</v>
      </c>
    </row>
    <row r="18" spans="1:5" x14ac:dyDescent="0.25">
      <c r="A18" s="2" t="s">
        <v>4</v>
      </c>
      <c r="B18" s="2">
        <v>160027.084</v>
      </c>
      <c r="C18" s="5">
        <f t="shared" si="0"/>
        <v>1.2274575026635553E-2</v>
      </c>
      <c r="D18" s="4">
        <f t="shared" si="2"/>
        <v>12555766.6691</v>
      </c>
      <c r="E18" s="6">
        <f t="shared" si="1"/>
        <v>0.96306635192326517</v>
      </c>
    </row>
    <row r="19" spans="1:5" x14ac:dyDescent="0.25">
      <c r="A19" s="2" t="s">
        <v>29</v>
      </c>
      <c r="B19" s="2">
        <v>131206.66200000001</v>
      </c>
      <c r="C19" s="5">
        <f t="shared" si="0"/>
        <v>1.0063959027794396E-2</v>
      </c>
      <c r="D19" s="4">
        <f t="shared" si="2"/>
        <v>12686973.3311</v>
      </c>
      <c r="E19" s="6">
        <f t="shared" si="1"/>
        <v>0.97313031095105962</v>
      </c>
    </row>
    <row r="20" spans="1:5" x14ac:dyDescent="0.25">
      <c r="A20" s="2" t="s">
        <v>18</v>
      </c>
      <c r="B20" s="2">
        <v>125758.3463</v>
      </c>
      <c r="C20" s="5">
        <f t="shared" si="0"/>
        <v>9.6460562693560393E-3</v>
      </c>
      <c r="D20" s="4">
        <f t="shared" si="2"/>
        <v>12812731.6774</v>
      </c>
      <c r="E20" s="6">
        <f t="shared" si="1"/>
        <v>0.98277636722041561</v>
      </c>
    </row>
    <row r="21" spans="1:5" x14ac:dyDescent="0.25">
      <c r="A21" s="2" t="s">
        <v>16</v>
      </c>
      <c r="B21" s="2">
        <v>60638.972199999997</v>
      </c>
      <c r="C21" s="5">
        <f t="shared" si="0"/>
        <v>4.6511977547936036E-3</v>
      </c>
      <c r="D21" s="4">
        <f t="shared" si="2"/>
        <v>12873370.649600001</v>
      </c>
      <c r="E21" s="6">
        <f t="shared" si="1"/>
        <v>0.98742756497520923</v>
      </c>
    </row>
    <row r="22" spans="1:5" x14ac:dyDescent="0.25">
      <c r="A22" s="2" t="s">
        <v>15</v>
      </c>
      <c r="B22" s="2">
        <v>45546.5</v>
      </c>
      <c r="C22" s="5">
        <f t="shared" si="0"/>
        <v>3.4935581995023802E-3</v>
      </c>
      <c r="D22" s="4">
        <f t="shared" si="2"/>
        <v>12918917.149600001</v>
      </c>
      <c r="E22" s="6">
        <f t="shared" si="1"/>
        <v>0.99092112317471159</v>
      </c>
    </row>
    <row r="23" spans="1:5" x14ac:dyDescent="0.25">
      <c r="A23" s="2" t="s">
        <v>2</v>
      </c>
      <c r="B23" s="2">
        <v>44650.3</v>
      </c>
      <c r="C23" s="5">
        <f t="shared" si="0"/>
        <v>3.4248168723225968E-3</v>
      </c>
      <c r="D23" s="4">
        <f t="shared" si="2"/>
        <v>12963567.449600002</v>
      </c>
      <c r="E23" s="6">
        <f t="shared" si="1"/>
        <v>0.99434594004703414</v>
      </c>
    </row>
    <row r="24" spans="1:5" x14ac:dyDescent="0.25">
      <c r="A24" s="2" t="s">
        <v>26</v>
      </c>
      <c r="B24" s="2">
        <v>34811.5</v>
      </c>
      <c r="C24" s="5">
        <f t="shared" si="0"/>
        <v>2.670150313678924E-3</v>
      </c>
      <c r="D24" s="4">
        <f t="shared" si="2"/>
        <v>12998378.949600002</v>
      </c>
      <c r="E24" s="6">
        <f t="shared" si="1"/>
        <v>0.99701609036071304</v>
      </c>
    </row>
    <row r="25" spans="1:5" x14ac:dyDescent="0.25">
      <c r="A25" s="2" t="s">
        <v>28</v>
      </c>
      <c r="B25" s="2">
        <v>25193.909</v>
      </c>
      <c r="C25" s="5">
        <f t="shared" si="0"/>
        <v>1.9324511732946947E-3</v>
      </c>
      <c r="D25" s="4">
        <f t="shared" si="2"/>
        <v>13023572.858600002</v>
      </c>
      <c r="E25" s="6">
        <f t="shared" si="1"/>
        <v>0.99894854153400769</v>
      </c>
    </row>
    <row r="26" spans="1:5" x14ac:dyDescent="0.25">
      <c r="A26" s="2" t="s">
        <v>32</v>
      </c>
      <c r="B26" s="2">
        <v>3229.6896000000002</v>
      </c>
      <c r="C26" s="5">
        <f t="shared" si="0"/>
        <v>2.4772723664667019E-4</v>
      </c>
      <c r="D26" s="4">
        <f t="shared" si="2"/>
        <v>13026802.548200002</v>
      </c>
      <c r="E26" s="6">
        <f t="shared" si="1"/>
        <v>0.99919626877065437</v>
      </c>
    </row>
    <row r="27" spans="1:5" x14ac:dyDescent="0.25">
      <c r="A27" s="2" t="s">
        <v>22</v>
      </c>
      <c r="B27" s="2">
        <v>3035.3618999999999</v>
      </c>
      <c r="C27" s="5">
        <f t="shared" si="0"/>
        <v>2.3282169769800367E-4</v>
      </c>
      <c r="D27" s="4">
        <f t="shared" si="2"/>
        <v>13029837.910100002</v>
      </c>
      <c r="E27" s="6">
        <f t="shared" si="1"/>
        <v>0.99942909046835238</v>
      </c>
    </row>
    <row r="28" spans="1:5" x14ac:dyDescent="0.25">
      <c r="A28" s="2" t="s">
        <v>31</v>
      </c>
      <c r="B28" s="2">
        <v>2910.5549999999998</v>
      </c>
      <c r="C28" s="5">
        <f t="shared" si="0"/>
        <v>2.2324862031885325E-4</v>
      </c>
      <c r="D28" s="4">
        <f t="shared" si="2"/>
        <v>13032748.465100002</v>
      </c>
      <c r="E28" s="6">
        <f t="shared" si="1"/>
        <v>0.99965233908867124</v>
      </c>
    </row>
    <row r="29" spans="1:5" x14ac:dyDescent="0.25">
      <c r="A29" s="2" t="s">
        <v>3</v>
      </c>
      <c r="B29" s="2">
        <v>2345.1197000000002</v>
      </c>
      <c r="C29" s="5">
        <f t="shared" si="0"/>
        <v>1.798779743064684E-4</v>
      </c>
      <c r="D29" s="4">
        <f t="shared" si="2"/>
        <v>13035093.584800001</v>
      </c>
      <c r="E29" s="6">
        <f t="shared" si="1"/>
        <v>0.99983221706297776</v>
      </c>
    </row>
    <row r="30" spans="1:5" x14ac:dyDescent="0.25">
      <c r="A30" s="2" t="s">
        <v>7</v>
      </c>
      <c r="B30" s="2">
        <v>1706.6333</v>
      </c>
      <c r="C30" s="5">
        <f t="shared" si="0"/>
        <v>1.3090408173534312E-4</v>
      </c>
      <c r="D30" s="4">
        <f t="shared" si="2"/>
        <v>13036800.218100002</v>
      </c>
      <c r="E30" s="6">
        <f t="shared" si="1"/>
        <v>0.99996312114471309</v>
      </c>
    </row>
    <row r="31" spans="1:5" x14ac:dyDescent="0.25">
      <c r="A31" s="2" t="s">
        <v>14</v>
      </c>
      <c r="B31" s="2">
        <v>306.2</v>
      </c>
      <c r="C31" s="5">
        <f t="shared" si="0"/>
        <v>2.3486492281242881E-5</v>
      </c>
      <c r="D31" s="4">
        <f t="shared" si="2"/>
        <v>13037106.418100001</v>
      </c>
      <c r="E31" s="6">
        <f t="shared" si="1"/>
        <v>0.99998660763699432</v>
      </c>
    </row>
    <row r="32" spans="1:5" x14ac:dyDescent="0.25">
      <c r="A32" s="2" t="s">
        <v>24</v>
      </c>
      <c r="B32" s="2">
        <v>174.6</v>
      </c>
      <c r="C32" s="5">
        <f t="shared" si="0"/>
        <v>1.3392363005568279E-5</v>
      </c>
      <c r="D32" s="4">
        <f t="shared" si="2"/>
        <v>13037281.018100001</v>
      </c>
      <c r="E32" s="6">
        <f t="shared" si="1"/>
        <v>0.99999999999999989</v>
      </c>
    </row>
    <row r="33" spans="1:3" x14ac:dyDescent="0.25">
      <c r="A33" s="4"/>
      <c r="B33" s="4"/>
    </row>
    <row r="34" spans="1:3" x14ac:dyDescent="0.25">
      <c r="A34" s="4"/>
      <c r="B34" s="4"/>
    </row>
    <row r="35" spans="1:3" x14ac:dyDescent="0.25">
      <c r="B35" s="3">
        <f>SUM(B2:B32)</f>
        <v>13037281.018100001</v>
      </c>
      <c r="C35" s="6">
        <f>SUM(C2:C32)</f>
        <v>0.99999999999999989</v>
      </c>
    </row>
  </sheetData>
  <autoFilter ref="A1:B32" xr:uid="{E92E90CB-1C78-4A00-A6EE-618C8B4DDA8E}">
    <sortState xmlns:xlrd2="http://schemas.microsoft.com/office/spreadsheetml/2017/richdata2" ref="A2:B32">
      <sortCondition descending="1" ref="B1:B32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Atehortua</dc:creator>
  <cp:lastModifiedBy>Didier Atehortua</cp:lastModifiedBy>
  <dcterms:created xsi:type="dcterms:W3CDTF">2024-09-25T14:20:28Z</dcterms:created>
  <dcterms:modified xsi:type="dcterms:W3CDTF">2024-09-27T02:00:48Z</dcterms:modified>
</cp:coreProperties>
</file>